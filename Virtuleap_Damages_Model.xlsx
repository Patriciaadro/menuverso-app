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mages Model" sheetId="1" state="visible" r:id="rId3"/>
    <sheet name="Market Projections" sheetId="2" state="visible" r:id="rId4"/>
    <sheet name="Sourc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Model</author>
  </authors>
  <commentList>
    <comment ref="B5" authorId="0">
      <text>
        <r>
          <rPr>
            <sz val="10"/>
            <rFont val="Arial"/>
            <family val="2"/>
          </rPr>
          <t xml:space="preserve">Source: Virtuleap Case Assessment, documented R&amp;D spend (pre profit-margin uplift). Drives all tier calculations.</t>
        </r>
      </text>
    </comment>
    <comment ref="B6" authorId="0">
      <text>
        <r>
          <rPr>
            <sz val="10"/>
            <rFont val="Arial"/>
            <family val="2"/>
          </rPr>
          <t xml:space="preserve">DTSA allows exemplary damages up to 2x the compensatory award, awarded ON TOP of it. Total claim factor = 1 + this = up to 3.0x.</t>
        </r>
      </text>
    </comment>
    <comment ref="J13" authorId="0">
      <text>
        <r>
          <rPr>
            <sz val="10"/>
            <rFont val="Arial"/>
            <family val="2"/>
          </rPr>
          <t xml:space="preserve">Source: Virtuleap Case Assessment, Exhibit 5 — post-validation asset value. Claimed as direct actual loss if discovery shows dissemination destroyed trade-secret status.</t>
        </r>
      </text>
    </comment>
  </commentList>
</comments>
</file>

<file path=xl/sharedStrings.xml><?xml version="1.0" encoding="utf-8"?>
<sst xmlns="http://schemas.openxmlformats.org/spreadsheetml/2006/main" count="86" uniqueCount="72">
  <si>
    <t xml:space="preserve">Virtuleap v. Penumbra / Floreo — Trade Secret Damages Model</t>
  </si>
  <si>
    <t xml:space="preserve">Unjust enrichment (avoided R&amp;D cost) method, with DTSA exemplary multiplier  |  PRIVILEGED &amp; CONFIDENTIAL — PREPARED AT REQUEST OF COUNSEL</t>
  </si>
  <si>
    <t xml:space="preserve">Shared inputs</t>
  </si>
  <si>
    <t xml:space="preserve">Base documented R&amp;D investment ($)</t>
  </si>
  <si>
    <t xml:space="preserve">DTSA exemplary multiplier (in ADDITION to compensatory) [18 U.S.C. 1836]</t>
  </si>
  <si>
    <t xml:space="preserve">Valuation tier</t>
  </si>
  <si>
    <t xml:space="preserve">Profit
margin</t>
  </si>
  <si>
    <t xml:space="preserve">Risk /
hurdle rate</t>
  </si>
  <si>
    <t xml:space="preserve">Core
head-start
(yrs)</t>
  </si>
  <si>
    <t xml:space="preserve">Adjusted
base R&amp;D ($)</t>
  </si>
  <si>
    <t xml:space="preserve">Core ADHD
saved cost ($)</t>
  </si>
  <si>
    <t xml:space="preserve">Adjacent
allocation</t>
  </si>
  <si>
    <t xml:space="preserve">Adjacent
head-start
(yrs)</t>
  </si>
  <si>
    <t xml:space="preserve">Adjacent-mkt
saved cost ($)</t>
  </si>
  <si>
    <t xml:space="preserve">Total saved
R&amp;D value ($)</t>
  </si>
  <si>
    <t xml:space="preserve">Total claim — comp.
+ up to 2x exemplary ($)</t>
  </si>
  <si>
    <t xml:space="preserve">Tier 1 — Conservative baseline</t>
  </si>
  <si>
    <t xml:space="preserve">—</t>
  </si>
  <si>
    <t xml:space="preserve">Tier 2 — Maximized core (very high risk)</t>
  </si>
  <si>
    <t xml:space="preserve">Tier 3 — Platform expansion (core + adjacent/MCI)</t>
  </si>
  <si>
    <t xml:space="preserve">Tier 4 — Total asset destruction (direct loss)</t>
  </si>
  <si>
    <t xml:space="preserve">Method &amp; formulas</t>
  </si>
  <si>
    <t xml:space="preserve">• Saved R&amp;D value (core) = Adjusted base R&amp;D x (1 + risk/hurdle rate x head-start years). Adjusted base R&amp;D = base R&amp;D x (1 + profit margin).</t>
  </si>
  <si>
    <t xml:space="preserve">• Adjacent-market (Tier 3): allocates a share of the adjusted base as a reusable clinical/cognitive-training platform avoided by the defendant, with its own head-start.</t>
  </si>
  <si>
    <t xml:space="preserve">• Total claim = total saved value x (1 + DTSA exemplary multiplier). DTSA permits exemplary damages up to 2x compensatory, awarded in addition — so the factor shown is up to 3.0x.</t>
  </si>
  <si>
    <t xml:space="preserve">• All blue/shaded cells are inputs; black cells are formulas. Change an input and every dependent figure recalculates.</t>
  </si>
  <si>
    <t xml:space="preserve">• Figures are model-derived from the inputs above and reconcile to the Case Assessment exhibits to within rounding.</t>
  </si>
  <si>
    <t xml:space="preserve">Market Projections — ADHD &amp; Digital/VR Therapeutics</t>
  </si>
  <si>
    <t xml:space="preserve">Third-party industry forecasts supporting market-size context for damages. Figures are published analyst estimates; ranges reflect differing scopes.</t>
  </si>
  <si>
    <t xml:space="preserve">Segment</t>
  </si>
  <si>
    <t xml:space="preserve">2024 value</t>
  </si>
  <si>
    <t xml:space="preserve">Forecast value</t>
  </si>
  <si>
    <t xml:space="preserve">Forecast year</t>
  </si>
  <si>
    <t xml:space="preserve">CAGR</t>
  </si>
  <si>
    <t xml:space="preserve">Source</t>
  </si>
  <si>
    <t xml:space="preserve">ADHD therapeutics (total, incl. drugs)</t>
  </si>
  <si>
    <t xml:space="preserve">$14.5B</t>
  </si>
  <si>
    <t xml:space="preserve">$17.85B–$19.74B</t>
  </si>
  <si>
    <t xml:space="preserve">2030</t>
  </si>
  <si>
    <t xml:space="preserve">~5.8%–7.8%</t>
  </si>
  <si>
    <t xml:space="preserve">Market Research Future; NatLaw/SMR press releases (2024)</t>
  </si>
  <si>
    <t xml:space="preserve">ADHD digital therapy</t>
  </si>
  <si>
    <t xml:space="preserve">~$1.77B (2035)</t>
  </si>
  <si>
    <t xml:space="preserve">2035</t>
  </si>
  <si>
    <t xml:space="preserve">~18% (2026–2036)</t>
  </si>
  <si>
    <t xml:space="preserve">Future Market Insights</t>
  </si>
  <si>
    <t xml:space="preserve">ADHD apps</t>
  </si>
  <si>
    <t xml:space="preserve">$0.56B</t>
  </si>
  <si>
    <t xml:space="preserve">$1.1B+</t>
  </si>
  <si>
    <t xml:space="preserve">~10.8%</t>
  </si>
  <si>
    <t xml:space="preserve">Strategic Market Research</t>
  </si>
  <si>
    <t xml:space="preserve">Digital therapeutics (DTx), global</t>
  </si>
  <si>
    <t xml:space="preserve">$7.7B</t>
  </si>
  <si>
    <t xml:space="preserve">$25.98B–$42.98B</t>
  </si>
  <si>
    <t xml:space="preserve">~27%–31%</t>
  </si>
  <si>
    <t xml:space="preserve">Grand View Research; MarketsandMarkets</t>
  </si>
  <si>
    <t xml:space="preserve">VR therapy for mental health</t>
  </si>
  <si>
    <t xml:space="preserve">$1.83B</t>
  </si>
  <si>
    <t xml:space="preserve">$10.71B</t>
  </si>
  <si>
    <t xml:space="preserve">2032</t>
  </si>
  <si>
    <t xml:space="preserve">~24.7%</t>
  </si>
  <si>
    <t xml:space="preserve">Data Bridge Market Research</t>
  </si>
  <si>
    <t xml:space="preserve">Takeaway: ADHD-specific digital therapy is an early but fast-growing niche (~18% CAGR) inside a digital-therapeutics market compounding ~27–31% and a VR mental-health market compounding ~25% toward ~$10B+ by the early 2030s. EndeavorRx (Akili) is the FDA-cleared comparator that established the prescription-DTx category for pediatric ADHD.</t>
  </si>
  <si>
    <t xml:space="preserve">Sources (market data)</t>
  </si>
  <si>
    <t xml:space="preserve">ADHD Therapeutics Market — Market Research Future: https://www.marketresearchfuture.com/reports/adhd-therapeutics-market-1573</t>
  </si>
  <si>
    <t xml:space="preserve">ADHD therapeutics projected to $17.85B by 2030 — National Law Review press release: https://natlawreview.com/press-releases/market-attention-deficit-hyperactivity-disorder-adhd-therapeutics-projected</t>
  </si>
  <si>
    <t xml:space="preserve">ADHD Digital Therapy Market — Future Market Insights: https://www.futuremarketinsights.com/reports/adhd-digital-therapy-market</t>
  </si>
  <si>
    <t xml:space="preserve">ADHD Apps Market — Strategic Market Research: https://www.strategicmarketresearch.com/market-report/adhd-apps-market</t>
  </si>
  <si>
    <t xml:space="preserve">Digital Therapeutics Market — Grand View Research: https://www.grandviewresearch.com/industry-analysis/digital-therapeutics-market</t>
  </si>
  <si>
    <t xml:space="preserve">Digital Therapeutics Market — MarketsandMarkets: https://www.marketsandmarkets.com/Market-Reports/digital-therapeutics-market-51646724.html</t>
  </si>
  <si>
    <t xml:space="preserve">VR Therapy for Mental Health Market — Data Bridge Market Research: https://www.databridgemarketresearch.com/reports/global-virtual-reality-vr-therapy-for-mental-health</t>
  </si>
  <si>
    <t xml:space="preserve">EndeavorRx FDA clearance — Akili Interactive: https://www.akiliinteractive.com/news-collection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</si>
</sst>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\x"/>
    <numFmt numFmtId="167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9"/>
    <col collapsed="false" customWidth="true" hidden="false" outlineLevel="0" max="6" min="5" style="0" width="15"/>
    <col collapsed="false" customWidth="true" hidden="false" outlineLevel="0" max="8" min="7" style="0" width="10"/>
    <col collapsed="false" customWidth="true" hidden="false" outlineLevel="0" max="10" min="9" style="0" width="15"/>
    <col collapsed="false" customWidth="true" hidden="false" outlineLevel="0" max="11" min="11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customFormat="false" ht="15" hidden="false" customHeight="false" outlineLevel="0" collapsed="false">
      <c r="A5" s="5" t="s">
        <v>3</v>
      </c>
      <c r="B5" s="6" t="n">
        <v>12522673</v>
      </c>
    </row>
    <row r="6" customFormat="false" ht="15" hidden="false" customHeight="false" outlineLevel="0" collapsed="false">
      <c r="A6" s="5" t="s">
        <v>4</v>
      </c>
      <c r="B6" s="7" t="n">
        <v>2</v>
      </c>
    </row>
    <row r="9" customFormat="false" ht="45.75" hidden="false" customHeight="true" outlineLevel="0" collapsed="false">
      <c r="A9" s="8" t="s">
        <v>5</v>
      </c>
      <c r="B9" s="8" t="s">
        <v>6</v>
      </c>
      <c r="C9" s="8" t="s">
        <v>7</v>
      </c>
      <c r="D9" s="8" t="s">
        <v>8</v>
      </c>
      <c r="E9" s="8" t="s">
        <v>9</v>
      </c>
      <c r="F9" s="8" t="s">
        <v>10</v>
      </c>
      <c r="G9" s="8" t="s">
        <v>11</v>
      </c>
      <c r="H9" s="8" t="s">
        <v>12</v>
      </c>
      <c r="I9" s="8" t="s">
        <v>13</v>
      </c>
      <c r="J9" s="8" t="s">
        <v>14</v>
      </c>
      <c r="K9" s="8" t="s">
        <v>15</v>
      </c>
    </row>
    <row r="10" customFormat="false" ht="15" hidden="false" customHeight="false" outlineLevel="0" collapsed="false">
      <c r="A10" s="9" t="s">
        <v>16</v>
      </c>
      <c r="B10" s="10" t="n">
        <v>0.0905</v>
      </c>
      <c r="C10" s="10" t="n">
        <v>0.3</v>
      </c>
      <c r="D10" s="11" t="n">
        <v>5</v>
      </c>
      <c r="E10" s="12" t="n">
        <f aca="false">$B$5*(1+B10)</f>
        <v>13655974.9065</v>
      </c>
      <c r="F10" s="12" t="n">
        <f aca="false">E10*(1+C10*D10)</f>
        <v>34139937.26625</v>
      </c>
      <c r="G10" s="13" t="s">
        <v>17</v>
      </c>
      <c r="H10" s="14" t="s">
        <v>17</v>
      </c>
      <c r="I10" s="12" t="n">
        <v>0</v>
      </c>
      <c r="J10" s="12" t="n">
        <f aca="false">F10+N(I10)</f>
        <v>34139937.26625</v>
      </c>
      <c r="K10" s="12" t="n">
        <f aca="false">J10*(1+$B$6)</f>
        <v>102419811.79875</v>
      </c>
    </row>
    <row r="11" customFormat="false" ht="15" hidden="false" customHeight="false" outlineLevel="0" collapsed="false">
      <c r="A11" s="9" t="s">
        <v>18</v>
      </c>
      <c r="B11" s="10" t="n">
        <v>0.1086</v>
      </c>
      <c r="C11" s="10" t="n">
        <v>0.45</v>
      </c>
      <c r="D11" s="11" t="n">
        <v>6</v>
      </c>
      <c r="E11" s="12" t="n">
        <f aca="false">$B$5*(1+B11)</f>
        <v>13882635.2878</v>
      </c>
      <c r="F11" s="12" t="n">
        <f aca="false">E11*(1+C11*D11)</f>
        <v>51365750.56486</v>
      </c>
      <c r="G11" s="13" t="s">
        <v>17</v>
      </c>
      <c r="H11" s="14" t="s">
        <v>17</v>
      </c>
      <c r="I11" s="12" t="n">
        <v>0</v>
      </c>
      <c r="J11" s="12" t="n">
        <f aca="false">F11+N(I11)</f>
        <v>51365750.56486</v>
      </c>
      <c r="K11" s="12" t="n">
        <f aca="false">J11*(1+$B$6)</f>
        <v>154097251.69458</v>
      </c>
    </row>
    <row r="12" customFormat="false" ht="23.85" hidden="false" customHeight="false" outlineLevel="0" collapsed="false">
      <c r="A12" s="9" t="s">
        <v>19</v>
      </c>
      <c r="B12" s="10" t="n">
        <v>0.1086</v>
      </c>
      <c r="C12" s="10" t="n">
        <v>0.45</v>
      </c>
      <c r="D12" s="11" t="n">
        <v>6</v>
      </c>
      <c r="E12" s="12" t="n">
        <f aca="false">$B$5*(1+B12)</f>
        <v>13882635.2878</v>
      </c>
      <c r="F12" s="12" t="n">
        <f aca="false">E12*(1+C12*D12)</f>
        <v>51365750.56486</v>
      </c>
      <c r="G12" s="10" t="n">
        <v>0.4</v>
      </c>
      <c r="H12" s="11" t="n">
        <v>3</v>
      </c>
      <c r="I12" s="12" t="n">
        <f aca="false">E12*G12*(1+C12*H12)</f>
        <v>13049677.170532</v>
      </c>
      <c r="J12" s="12" t="n">
        <f aca="false">F12+N(I12)</f>
        <v>64415427.735392</v>
      </c>
      <c r="K12" s="12" t="n">
        <f aca="false">J12*(1+$B$6)</f>
        <v>193246283.206176</v>
      </c>
    </row>
    <row r="13" customFormat="false" ht="15" hidden="false" customHeight="false" outlineLevel="0" collapsed="false">
      <c r="A13" s="9" t="s">
        <v>20</v>
      </c>
      <c r="B13" s="13" t="s">
        <v>17</v>
      </c>
      <c r="C13" s="13" t="s">
        <v>17</v>
      </c>
      <c r="D13" s="14" t="s">
        <v>17</v>
      </c>
      <c r="E13" s="12" t="s">
        <v>17</v>
      </c>
      <c r="F13" s="12" t="s">
        <v>17</v>
      </c>
      <c r="G13" s="13" t="s">
        <v>17</v>
      </c>
      <c r="H13" s="14" t="s">
        <v>17</v>
      </c>
      <c r="I13" s="12" t="s">
        <v>17</v>
      </c>
      <c r="J13" s="15" t="n">
        <v>40000000</v>
      </c>
      <c r="K13" s="12" t="n">
        <f aca="false">J13*(1+$B$6)</f>
        <v>120000000</v>
      </c>
    </row>
    <row r="15" customFormat="false" ht="15" hidden="false" customHeight="false" outlineLevel="0" collapsed="false">
      <c r="A15" s="16" t="s">
        <v>21</v>
      </c>
    </row>
    <row r="16" customFormat="false" ht="15" hidden="false" customHeight="true" outlineLevel="0" collapsed="false">
      <c r="A16" s="17" t="s">
        <v>22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</row>
    <row r="17" customFormat="false" ht="15" hidden="false" customHeight="true" outlineLevel="0" collapsed="false">
      <c r="A17" s="17" t="s">
        <v>23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</row>
    <row r="18" customFormat="false" ht="15" hidden="false" customHeight="true" outlineLevel="0" collapsed="false">
      <c r="A18" s="17" t="s">
        <v>24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</row>
    <row r="19" customFormat="false" ht="15" hidden="false" customHeight="true" outlineLevel="0" collapsed="false">
      <c r="A19" s="17" t="s">
        <v>25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</row>
    <row r="20" customFormat="false" ht="15" hidden="false" customHeight="true" outlineLevel="0" collapsed="false">
      <c r="A20" s="17" t="s">
        <v>26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</row>
  </sheetData>
  <mergeCells count="5">
    <mergeCell ref="A16:K16"/>
    <mergeCell ref="A17:K17"/>
    <mergeCell ref="A18:K18"/>
    <mergeCell ref="A19:K19"/>
    <mergeCell ref="A20:K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42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8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</row>
    <row r="5" customFormat="false" ht="23.85" hidden="false" customHeight="false" outlineLevel="0" collapsed="false">
      <c r="A5" s="18" t="s">
        <v>35</v>
      </c>
      <c r="B5" s="19" t="s">
        <v>36</v>
      </c>
      <c r="C5" s="19" t="s">
        <v>37</v>
      </c>
      <c r="D5" s="19" t="s">
        <v>38</v>
      </c>
      <c r="E5" s="19" t="s">
        <v>39</v>
      </c>
      <c r="F5" s="18" t="s">
        <v>40</v>
      </c>
    </row>
    <row r="6" customFormat="false" ht="23.85" hidden="false" customHeight="false" outlineLevel="0" collapsed="false">
      <c r="A6" s="18" t="s">
        <v>41</v>
      </c>
      <c r="B6" s="19" t="s">
        <v>17</v>
      </c>
      <c r="C6" s="19" t="s">
        <v>42</v>
      </c>
      <c r="D6" s="19" t="s">
        <v>43</v>
      </c>
      <c r="E6" s="19" t="s">
        <v>44</v>
      </c>
      <c r="F6" s="18" t="s">
        <v>45</v>
      </c>
    </row>
    <row r="7" customFormat="false" ht="15" hidden="false" customHeight="false" outlineLevel="0" collapsed="false">
      <c r="A7" s="18" t="s">
        <v>46</v>
      </c>
      <c r="B7" s="19" t="s">
        <v>47</v>
      </c>
      <c r="C7" s="19" t="s">
        <v>48</v>
      </c>
      <c r="D7" s="19" t="s">
        <v>38</v>
      </c>
      <c r="E7" s="19" t="s">
        <v>49</v>
      </c>
      <c r="F7" s="18" t="s">
        <v>50</v>
      </c>
    </row>
    <row r="8" customFormat="false" ht="15" hidden="false" customHeight="false" outlineLevel="0" collapsed="false">
      <c r="A8" s="18" t="s">
        <v>51</v>
      </c>
      <c r="B8" s="19" t="s">
        <v>52</v>
      </c>
      <c r="C8" s="19" t="s">
        <v>53</v>
      </c>
      <c r="D8" s="19" t="s">
        <v>38</v>
      </c>
      <c r="E8" s="19" t="s">
        <v>54</v>
      </c>
      <c r="F8" s="18" t="s">
        <v>55</v>
      </c>
    </row>
    <row r="9" customFormat="false" ht="15" hidden="false" customHeight="false" outlineLevel="0" collapsed="false">
      <c r="A9" s="18" t="s">
        <v>56</v>
      </c>
      <c r="B9" s="19" t="s">
        <v>57</v>
      </c>
      <c r="C9" s="19" t="s">
        <v>58</v>
      </c>
      <c r="D9" s="19" t="s">
        <v>59</v>
      </c>
      <c r="E9" s="19" t="s">
        <v>60</v>
      </c>
      <c r="F9" s="18" t="s">
        <v>61</v>
      </c>
    </row>
    <row r="11" customFormat="false" ht="15" hidden="false" customHeight="true" outlineLevel="0" collapsed="false">
      <c r="A11" s="20" t="s">
        <v>62</v>
      </c>
      <c r="B11" s="20"/>
      <c r="C11" s="20"/>
      <c r="D11" s="20"/>
      <c r="E11" s="20"/>
      <c r="F11" s="20"/>
    </row>
    <row r="12" customFormat="false" ht="15" hidden="false" customHeight="false" outlineLevel="0" collapsed="false">
      <c r="A12" s="20"/>
      <c r="B12" s="20"/>
      <c r="C12" s="20"/>
      <c r="D12" s="20"/>
      <c r="E12" s="20"/>
      <c r="F12" s="20"/>
    </row>
    <row r="13" customFormat="false" ht="15" hidden="false" customHeight="false" outlineLevel="0" collapsed="false">
      <c r="A13" s="20"/>
      <c r="B13" s="20"/>
      <c r="C13" s="20"/>
      <c r="D13" s="20"/>
      <c r="E13" s="20"/>
      <c r="F13" s="20"/>
    </row>
  </sheetData>
  <mergeCells count="1">
    <mergeCell ref="A11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6" t="s">
        <v>63</v>
      </c>
    </row>
    <row r="2" customFormat="false" ht="15" hidden="false" customHeight="false" outlineLevel="0" collapsed="false">
      <c r="A2" s="21" t="s">
        <v>64</v>
      </c>
    </row>
    <row r="3" customFormat="false" ht="15" hidden="false" customHeight="false" outlineLevel="0" collapsed="false">
      <c r="A3" s="21" t="s">
        <v>65</v>
      </c>
    </row>
    <row r="4" customFormat="false" ht="15" hidden="false" customHeight="false" outlineLevel="0" collapsed="false">
      <c r="A4" s="21" t="s">
        <v>66</v>
      </c>
    </row>
    <row r="5" customFormat="false" ht="15" hidden="false" customHeight="false" outlineLevel="0" collapsed="false">
      <c r="A5" s="21" t="s">
        <v>67</v>
      </c>
    </row>
    <row r="6" customFormat="false" ht="15" hidden="false" customHeight="false" outlineLevel="0" collapsed="false">
      <c r="A6" s="21" t="s">
        <v>68</v>
      </c>
    </row>
    <row r="7" customFormat="false" ht="15" hidden="false" customHeight="false" outlineLevel="0" collapsed="false">
      <c r="A7" s="21" t="s">
        <v>69</v>
      </c>
    </row>
    <row r="8" customFormat="false" ht="15" hidden="false" customHeight="false" outlineLevel="0" collapsed="false">
      <c r="A8" s="21" t="s">
        <v>70</v>
      </c>
    </row>
    <row r="9" customFormat="false" ht="15" hidden="false" customHeight="false" outlineLevel="0" collapsed="false">
      <c r="A9" s="21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2026-06-17T13:12:41Z</dcterms:created>
  <dc:creator>openpyxl</dc:creator>
  <dc:description/>
  <dc:language>en-US</dc:language>
  <cp:lastModifiedBy/>
  <dcterms:modified xsi:type="dcterms:W3CDTF">2026-06-17T13:12:41Z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